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Users\Pete\My Documents\Projects\light-synthesiser\"/>
    </mc:Choice>
  </mc:AlternateContent>
  <bookViews>
    <workbookView xWindow="0" yWindow="0" windowWidth="26640" windowHeight="9615" tabRatio="500" activeTab="1"/>
  </bookViews>
  <sheets>
    <sheet name="Sheet1" sheetId="1" r:id="rId1"/>
    <sheet name="Sheet2" sheetId="2" r:id="rId2"/>
  </sheets>
  <functionGroups builtInGroupCount="18"/>
  <calcPr calcId="171027" concurrentCalc="0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L23" i="2" l="1"/>
  <c r="L24" i="2"/>
  <c r="L25" i="2"/>
  <c r="L26" i="2"/>
  <c r="B26" i="2"/>
  <c r="A26" i="2"/>
  <c r="C26" i="2"/>
  <c r="D26" i="2"/>
  <c r="E26" i="2"/>
  <c r="G26" i="2"/>
  <c r="B9" i="2"/>
  <c r="B10" i="2"/>
  <c r="B11" i="2"/>
  <c r="B12" i="2"/>
  <c r="B13" i="2"/>
  <c r="B22" i="2"/>
  <c r="B23" i="2"/>
  <c r="B24" i="2"/>
  <c r="B25" i="2"/>
  <c r="A25" i="2"/>
  <c r="C25" i="2"/>
  <c r="D25" i="2"/>
  <c r="E25" i="2"/>
  <c r="G25" i="2"/>
  <c r="A24" i="2"/>
  <c r="C24" i="2"/>
  <c r="D24" i="2"/>
  <c r="E24" i="2"/>
  <c r="G24" i="2"/>
  <c r="C23" i="2"/>
  <c r="D23" i="2"/>
  <c r="E23" i="2"/>
  <c r="G23" i="2"/>
  <c r="A23" i="2"/>
  <c r="E4" i="2"/>
  <c r="D4" i="2"/>
  <c r="C4" i="2"/>
  <c r="L4" i="2"/>
  <c r="E5" i="2"/>
  <c r="D5" i="2"/>
  <c r="C5" i="2"/>
  <c r="L5" i="2"/>
  <c r="E6" i="2"/>
  <c r="D6" i="2"/>
  <c r="C6" i="2"/>
  <c r="L6" i="2"/>
  <c r="E7" i="2"/>
  <c r="D7" i="2"/>
  <c r="C7" i="2"/>
  <c r="L7" i="2"/>
  <c r="E8" i="2"/>
  <c r="D8" i="2"/>
  <c r="C8" i="2"/>
  <c r="L8" i="2"/>
  <c r="E9" i="2"/>
  <c r="D9" i="2"/>
  <c r="C9" i="2"/>
  <c r="L9" i="2"/>
  <c r="E10" i="2"/>
  <c r="D10" i="2"/>
  <c r="C10" i="2"/>
  <c r="L10" i="2"/>
  <c r="E11" i="2"/>
  <c r="D11" i="2"/>
  <c r="C11" i="2"/>
  <c r="L11" i="2"/>
  <c r="E12" i="2"/>
  <c r="D12" i="2"/>
  <c r="C12" i="2"/>
  <c r="L12" i="2"/>
  <c r="E13" i="2"/>
  <c r="D13" i="2"/>
  <c r="C13" i="2"/>
  <c r="L13" i="2"/>
  <c r="B14" i="2"/>
  <c r="E14" i="2"/>
  <c r="D14" i="2"/>
  <c r="C14" i="2"/>
  <c r="L14" i="2"/>
  <c r="B15" i="2"/>
  <c r="E15" i="2"/>
  <c r="D15" i="2"/>
  <c r="C15" i="2"/>
  <c r="L15" i="2"/>
  <c r="B16" i="2"/>
  <c r="E16" i="2"/>
  <c r="D16" i="2"/>
  <c r="C16" i="2"/>
  <c r="L16" i="2"/>
  <c r="B17" i="2"/>
  <c r="E17" i="2"/>
  <c r="D17" i="2"/>
  <c r="C17" i="2"/>
  <c r="L17" i="2"/>
  <c r="B18" i="2"/>
  <c r="E18" i="2"/>
  <c r="D18" i="2"/>
  <c r="C18" i="2"/>
  <c r="L18" i="2"/>
  <c r="B19" i="2"/>
  <c r="E19" i="2"/>
  <c r="D19" i="2"/>
  <c r="C19" i="2"/>
  <c r="L19" i="2"/>
  <c r="B20" i="2"/>
  <c r="E20" i="2"/>
  <c r="D20" i="2"/>
  <c r="C20" i="2"/>
  <c r="L20" i="2"/>
  <c r="B21" i="2"/>
  <c r="E21" i="2"/>
  <c r="D21" i="2"/>
  <c r="C21" i="2"/>
  <c r="L21" i="2"/>
  <c r="E22" i="2"/>
  <c r="D22" i="2"/>
  <c r="C22" i="2"/>
  <c r="L22" i="2"/>
  <c r="B27" i="2"/>
  <c r="E27" i="2"/>
  <c r="D27" i="2"/>
  <c r="C27" i="2"/>
  <c r="L27" i="2"/>
  <c r="B28" i="2"/>
  <c r="E28" i="2"/>
  <c r="D28" i="2"/>
  <c r="C28" i="2"/>
  <c r="L28" i="2"/>
  <c r="B29" i="2"/>
  <c r="E29" i="2"/>
  <c r="D29" i="2"/>
  <c r="C29" i="2"/>
  <c r="L29" i="2"/>
  <c r="B30" i="2"/>
  <c r="E30" i="2"/>
  <c r="D30" i="2"/>
  <c r="C30" i="2"/>
  <c r="L30" i="2"/>
  <c r="B31" i="2"/>
  <c r="E31" i="2"/>
  <c r="D31" i="2"/>
  <c r="C31" i="2"/>
  <c r="L31" i="2"/>
  <c r="B32" i="2"/>
  <c r="E32" i="2"/>
  <c r="D32" i="2"/>
  <c r="C32" i="2"/>
  <c r="L32" i="2"/>
  <c r="B33" i="2"/>
  <c r="E33" i="2"/>
  <c r="D33" i="2"/>
  <c r="C33" i="2"/>
  <c r="L33" i="2"/>
  <c r="B34" i="2"/>
  <c r="E34" i="2"/>
  <c r="D34" i="2"/>
  <c r="C34" i="2"/>
  <c r="L34" i="2"/>
  <c r="B35" i="2"/>
  <c r="E35" i="2"/>
  <c r="D35" i="2"/>
  <c r="C35" i="2"/>
  <c r="L35" i="2"/>
  <c r="B36" i="2"/>
  <c r="E36" i="2"/>
  <c r="D36" i="2"/>
  <c r="C36" i="2"/>
  <c r="L36" i="2"/>
  <c r="B37" i="2"/>
  <c r="E37" i="2"/>
  <c r="D37" i="2"/>
  <c r="C37" i="2"/>
  <c r="L37" i="2"/>
  <c r="E3" i="2"/>
  <c r="D3" i="2"/>
  <c r="C3" i="2"/>
  <c r="L3" i="2"/>
  <c r="J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7" i="2"/>
  <c r="G28" i="2"/>
  <c r="G29" i="2"/>
  <c r="G30" i="2"/>
  <c r="G31" i="2"/>
  <c r="G32" i="2"/>
  <c r="G33" i="2"/>
  <c r="G34" i="2"/>
  <c r="G35" i="2"/>
  <c r="G36" i="2"/>
  <c r="G37" i="2"/>
  <c r="B38" i="2"/>
  <c r="C38" i="2"/>
  <c r="G38" i="2"/>
  <c r="B39" i="2"/>
  <c r="C39" i="2"/>
  <c r="G39" i="2"/>
  <c r="G3" i="2"/>
  <c r="A39" i="2"/>
  <c r="B40" i="2"/>
  <c r="A40" i="2"/>
  <c r="B41" i="2"/>
  <c r="A41" i="2"/>
  <c r="B42" i="2"/>
  <c r="A42" i="2"/>
  <c r="B43" i="2"/>
  <c r="A43" i="2"/>
  <c r="B44" i="2"/>
  <c r="A44" i="2"/>
  <c r="B45" i="2"/>
  <c r="A45" i="2"/>
  <c r="B46" i="2"/>
  <c r="A46" i="2"/>
  <c r="B47" i="2"/>
  <c r="A47" i="2"/>
  <c r="A15" i="2"/>
  <c r="A16" i="2"/>
  <c r="A17" i="2"/>
  <c r="A18" i="2"/>
  <c r="A19" i="2"/>
  <c r="A20" i="2"/>
  <c r="A21" i="2"/>
  <c r="A14" i="2"/>
  <c r="D39" i="2"/>
  <c r="E39" i="2"/>
  <c r="C40" i="2"/>
  <c r="D40" i="2"/>
  <c r="E40" i="2"/>
  <c r="C41" i="2"/>
  <c r="D41" i="2"/>
  <c r="E41" i="2"/>
  <c r="C42" i="2"/>
  <c r="D42" i="2"/>
  <c r="E42" i="2"/>
  <c r="C43" i="2"/>
  <c r="D43" i="2"/>
  <c r="E43" i="2"/>
  <c r="C44" i="2"/>
  <c r="D44" i="2"/>
  <c r="E44" i="2"/>
  <c r="C45" i="2"/>
  <c r="D45" i="2"/>
  <c r="E45" i="2"/>
  <c r="C46" i="2"/>
  <c r="D46" i="2"/>
  <c r="E46" i="2"/>
  <c r="C47" i="2"/>
  <c r="D47" i="2"/>
  <c r="E47" i="2"/>
  <c r="A38" i="2"/>
  <c r="A3" i="2"/>
  <c r="A4" i="2"/>
  <c r="A5" i="2"/>
  <c r="A6" i="2"/>
  <c r="E38" i="2"/>
  <c r="D38" i="2"/>
  <c r="A8" i="2"/>
  <c r="A9" i="2"/>
  <c r="A10" i="2"/>
  <c r="A11" i="2"/>
  <c r="A12" i="2"/>
  <c r="A13" i="2"/>
  <c r="A22" i="2"/>
  <c r="A27" i="2"/>
  <c r="A28" i="2"/>
  <c r="A29" i="2"/>
  <c r="A30" i="2"/>
  <c r="A31" i="2"/>
  <c r="A32" i="2"/>
  <c r="A33" i="2"/>
  <c r="A34" i="2"/>
  <c r="A35" i="2"/>
  <c r="A36" i="2"/>
  <c r="A37" i="2"/>
  <c r="A7" i="2"/>
  <c r="B8" i="2"/>
  <c r="K13" i="1"/>
  <c r="K12" i="1"/>
  <c r="N8" i="1"/>
  <c r="N13" i="1"/>
  <c r="O8" i="1"/>
  <c r="O13" i="1"/>
  <c r="P8" i="1"/>
  <c r="P13" i="1"/>
  <c r="S8" i="1"/>
  <c r="S13" i="1"/>
  <c r="M13" i="1"/>
  <c r="I13" i="1"/>
  <c r="Q8" i="1"/>
  <c r="Q13" i="1"/>
  <c r="R8" i="1"/>
  <c r="R13" i="1"/>
  <c r="J13" i="1"/>
  <c r="G13" i="1"/>
  <c r="U13" i="1"/>
  <c r="B30" i="1"/>
  <c r="N12" i="1"/>
  <c r="Q12" i="1"/>
  <c r="R12" i="1"/>
  <c r="S12" i="1"/>
  <c r="M12" i="1"/>
  <c r="G12" i="1"/>
  <c r="I12" i="1"/>
  <c r="O12" i="1"/>
  <c r="P12" i="1"/>
  <c r="U12" i="1"/>
  <c r="B29" i="1"/>
  <c r="O11" i="1"/>
  <c r="P11" i="1"/>
  <c r="Q11" i="1"/>
  <c r="R11" i="1"/>
  <c r="M11" i="1"/>
  <c r="G11" i="1"/>
  <c r="I11" i="1"/>
  <c r="N11" i="1"/>
  <c r="S11" i="1"/>
  <c r="J11" i="1"/>
  <c r="K11" i="1"/>
  <c r="U11" i="1"/>
  <c r="B28" i="1"/>
</calcChain>
</file>

<file path=xl/sharedStrings.xml><?xml version="1.0" encoding="utf-8"?>
<sst xmlns="http://schemas.openxmlformats.org/spreadsheetml/2006/main" count="66" uniqueCount="60">
  <si>
    <t>T(g)</t>
    <phoneticPr fontId="2" type="noConversion"/>
  </si>
  <si>
    <t>T(b)</t>
    <phoneticPr fontId="2" type="noConversion"/>
  </si>
  <si>
    <t>T(r)</t>
  </si>
  <si>
    <t>INPUT 'SCREENS'</t>
    <phoneticPr fontId="2" type="noConversion"/>
  </si>
  <si>
    <t>OUTPUT NUMBERS</t>
    <phoneticPr fontId="2" type="noConversion"/>
  </si>
  <si>
    <t>CALIBRATION</t>
    <phoneticPr fontId="2" type="noConversion"/>
  </si>
  <si>
    <t>b</t>
    <phoneticPr fontId="2" type="noConversion"/>
  </si>
  <si>
    <t>SESSION VARIABLES</t>
    <phoneticPr fontId="2" type="noConversion"/>
  </si>
  <si>
    <t>Power</t>
    <phoneticPr fontId="2" type="noConversion"/>
  </si>
  <si>
    <t>Blue/Red Balance</t>
    <phoneticPr fontId="2" type="noConversion"/>
  </si>
  <si>
    <t>Green/Magenta Balance</t>
    <phoneticPr fontId="2" type="noConversion"/>
  </si>
  <si>
    <t>Red</t>
    <phoneticPr fontId="2" type="noConversion"/>
  </si>
  <si>
    <t>Green</t>
    <phoneticPr fontId="2" type="noConversion"/>
  </si>
  <si>
    <t>Blue</t>
    <phoneticPr fontId="2" type="noConversion"/>
  </si>
  <si>
    <t>r</t>
    <phoneticPr fontId="2" type="noConversion"/>
  </si>
  <si>
    <t>g</t>
    <phoneticPr fontId="2" type="noConversion"/>
  </si>
  <si>
    <t>P</t>
    <phoneticPr fontId="2" type="noConversion"/>
  </si>
  <si>
    <t>BR</t>
    <phoneticPr fontId="2" type="noConversion"/>
  </si>
  <si>
    <t>GM</t>
    <phoneticPr fontId="2" type="noConversion"/>
  </si>
  <si>
    <t>CHANNEL VARIABLES</t>
    <phoneticPr fontId="2" type="noConversion"/>
  </si>
  <si>
    <t>Hue</t>
    <phoneticPr fontId="2" type="noConversion"/>
  </si>
  <si>
    <t>Saturation</t>
    <phoneticPr fontId="2" type="noConversion"/>
  </si>
  <si>
    <t>Brightness</t>
    <phoneticPr fontId="2" type="noConversion"/>
  </si>
  <si>
    <t>H</t>
    <phoneticPr fontId="2" type="noConversion"/>
  </si>
  <si>
    <t>S</t>
    <phoneticPr fontId="2" type="noConversion"/>
  </si>
  <si>
    <t>B</t>
    <phoneticPr fontId="2" type="noConversion"/>
  </si>
  <si>
    <t>RED</t>
    <phoneticPr fontId="2" type="noConversion"/>
  </si>
  <si>
    <t>Calibration</t>
    <phoneticPr fontId="2" type="noConversion"/>
  </si>
  <si>
    <t>Power</t>
    <phoneticPr fontId="2" type="noConversion"/>
  </si>
  <si>
    <t>Blue/Red</t>
    <phoneticPr fontId="2" type="noConversion"/>
  </si>
  <si>
    <t xml:space="preserve"> Balance</t>
  </si>
  <si>
    <t>0&lt;=H&lt;60</t>
    <phoneticPr fontId="2" type="noConversion"/>
  </si>
  <si>
    <t>60&lt;=H&lt;120</t>
    <phoneticPr fontId="2" type="noConversion"/>
  </si>
  <si>
    <t>120&lt;=H&lt;180</t>
    <phoneticPr fontId="2" type="noConversion"/>
  </si>
  <si>
    <t>180&lt;=H&lt;240</t>
    <phoneticPr fontId="2" type="noConversion"/>
  </si>
  <si>
    <t>240&lt;=H&lt;300</t>
    <phoneticPr fontId="2" type="noConversion"/>
  </si>
  <si>
    <t>300&lt;=H&lt;360</t>
    <phoneticPr fontId="2" type="noConversion"/>
  </si>
  <si>
    <t>CALIBRATION</t>
    <phoneticPr fontId="2" type="noConversion"/>
  </si>
  <si>
    <t>SESSION</t>
    <phoneticPr fontId="2" type="noConversion"/>
  </si>
  <si>
    <t>CHANNEL</t>
    <phoneticPr fontId="2" type="noConversion"/>
  </si>
  <si>
    <t>Green/Mag</t>
    <phoneticPr fontId="2" type="noConversion"/>
  </si>
  <si>
    <t>GREEN</t>
    <phoneticPr fontId="2" type="noConversion"/>
  </si>
  <si>
    <t>BLUE</t>
    <phoneticPr fontId="2" type="noConversion"/>
  </si>
  <si>
    <t>Hue &amp; Saturation</t>
    <phoneticPr fontId="2" type="noConversion"/>
  </si>
  <si>
    <t>Green Time</t>
    <phoneticPr fontId="2" type="noConversion"/>
  </si>
  <si>
    <t>Red Time</t>
    <phoneticPr fontId="2" type="noConversion"/>
  </si>
  <si>
    <t>Blue Time</t>
    <phoneticPr fontId="2" type="noConversion"/>
  </si>
  <si>
    <t>+/- 10%</t>
    <phoneticPr fontId="2" type="noConversion"/>
  </si>
  <si>
    <t>+ve float</t>
    <phoneticPr fontId="2" type="noConversion"/>
  </si>
  <si>
    <t>0-100% integer</t>
    <phoneticPr fontId="2" type="noConversion"/>
  </si>
  <si>
    <t>0-100% integer</t>
    <phoneticPr fontId="2" type="noConversion"/>
  </si>
  <si>
    <t>minimum realistic exposure 10ms, 0.1% accuracy</t>
    <phoneticPr fontId="2" type="noConversion"/>
  </si>
  <si>
    <t>sequential is fine :-)</t>
    <phoneticPr fontId="2" type="noConversion"/>
  </si>
  <si>
    <t>0-359 integer</t>
    <phoneticPr fontId="2" type="noConversion"/>
  </si>
  <si>
    <t>t1 comparator</t>
  </si>
  <si>
    <t>t2 comparator</t>
  </si>
  <si>
    <t>t2_prescaler</t>
  </si>
  <si>
    <t>Clock Cycles</t>
  </si>
  <si>
    <t>Duration</t>
  </si>
  <si>
    <t>Calculated 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</si>
</sst>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name val="Verdana"/>
    </font>
    <font>
      <b/>
      <sz val="10"/>
      <name val="Verdana"/>
    </font>
    <font>
      <sz val="8"/>
      <name val="Verdana"/>
    </font>
    <font>
      <sz val="14"/>
      <name val="Verdana"/>
    </font>
    <font>
      <sz val="12"/>
      <name val="Times New Roman"/>
    </font>
    <font>
      <b/>
      <sz val="20"/>
      <name val="Verdana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3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4" fillId="0" borderId="0" xfId="0" applyFont="1"/>
    <xf numFmtId="0" fontId="5" fillId="0" borderId="0" xfId="0" applyFont="1"/>
    <xf numFmtId="0" fontId="0" fillId="0" borderId="0" xfId="0" quotePrefix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5"/>
  <sheetViews>
    <sheetView workbookViewId="0">
      <selection activeCell="J24" sqref="J24"/>
    </sheetView>
  </sheetViews>
  <sheetFormatPr defaultColWidth="11" defaultRowHeight="12.75" x14ac:dyDescent="0.2"/>
  <cols>
    <col min="1" max="1" width="19" customWidth="1"/>
    <col min="3" max="3" width="4.375" customWidth="1"/>
    <col min="4" max="4" width="8.75" customWidth="1"/>
    <col min="5" max="5" width="1.75" customWidth="1"/>
    <col min="6" max="6" width="5.625" customWidth="1"/>
    <col min="7" max="7" width="11.75" customWidth="1"/>
    <col min="8" max="8" width="1.75" customWidth="1"/>
    <col min="9" max="10" width="8.625" customWidth="1"/>
    <col min="11" max="11" width="8.75" customWidth="1"/>
    <col min="12" max="12" width="1.75" customWidth="1"/>
  </cols>
  <sheetData>
    <row r="1" spans="1:21" ht="24.75" x14ac:dyDescent="0.3">
      <c r="A1" s="10" t="s">
        <v>3</v>
      </c>
    </row>
    <row r="4" spans="1:21" ht="18" x14ac:dyDescent="0.25">
      <c r="A4" s="6" t="s">
        <v>5</v>
      </c>
      <c r="B4" s="6"/>
      <c r="G4" s="1" t="s">
        <v>37</v>
      </c>
      <c r="I4" s="2" t="s">
        <v>38</v>
      </c>
      <c r="J4" s="2"/>
      <c r="K4" s="3"/>
      <c r="M4" s="4" t="s">
        <v>39</v>
      </c>
      <c r="N4" s="5"/>
      <c r="O4" s="5"/>
      <c r="P4" s="5"/>
      <c r="Q4" s="5"/>
      <c r="R4" s="5"/>
      <c r="S4" s="5"/>
    </row>
    <row r="6" spans="1:21" x14ac:dyDescent="0.2">
      <c r="A6" t="s">
        <v>11</v>
      </c>
      <c r="B6">
        <v>1</v>
      </c>
      <c r="C6" t="s">
        <v>14</v>
      </c>
      <c r="D6" s="11" t="s">
        <v>48</v>
      </c>
      <c r="G6" t="s">
        <v>27</v>
      </c>
      <c r="I6" t="s">
        <v>28</v>
      </c>
      <c r="J6" t="s">
        <v>29</v>
      </c>
      <c r="K6" t="s">
        <v>40</v>
      </c>
      <c r="M6" t="s">
        <v>22</v>
      </c>
      <c r="N6" t="s">
        <v>43</v>
      </c>
    </row>
    <row r="7" spans="1:21" x14ac:dyDescent="0.2">
      <c r="A7" t="s">
        <v>12</v>
      </c>
      <c r="B7">
        <v>1</v>
      </c>
      <c r="C7" t="s">
        <v>15</v>
      </c>
      <c r="D7" s="11" t="s">
        <v>48</v>
      </c>
      <c r="J7" t="s">
        <v>30</v>
      </c>
      <c r="K7" t="s">
        <v>30</v>
      </c>
      <c r="N7" t="s">
        <v>31</v>
      </c>
      <c r="O7" t="s">
        <v>32</v>
      </c>
      <c r="P7" t="s">
        <v>33</v>
      </c>
      <c r="Q7" t="s">
        <v>34</v>
      </c>
      <c r="R7" t="s">
        <v>35</v>
      </c>
      <c r="S7" t="s">
        <v>36</v>
      </c>
    </row>
    <row r="8" spans="1:21" x14ac:dyDescent="0.2">
      <c r="A8" t="s">
        <v>13</v>
      </c>
      <c r="B8">
        <v>1</v>
      </c>
      <c r="C8" t="s">
        <v>6</v>
      </c>
      <c r="D8" s="11" t="s">
        <v>48</v>
      </c>
      <c r="N8">
        <f>IF($B$20&gt;=0,IF($B$20&lt;60,1,0),0)</f>
        <v>0</v>
      </c>
      <c r="O8">
        <f>IF($B$20&gt;=60,IF($B$20&lt;120,1,0),0)</f>
        <v>0</v>
      </c>
      <c r="P8">
        <f>IF($B$20&gt;=120,IF($B$20&lt;180,1,0),0)</f>
        <v>0</v>
      </c>
      <c r="Q8">
        <f>IF($B$20&gt;=180,IF($B$20&lt;240,1,0),0)</f>
        <v>0</v>
      </c>
      <c r="R8">
        <f>IF($B$20&gt;=240,IF($B$20&lt;300,1,0),0)</f>
        <v>1</v>
      </c>
      <c r="S8">
        <f>IF($B$20&gt;=300,IF($B$20&lt;360,1,0),0)</f>
        <v>0</v>
      </c>
    </row>
    <row r="11" spans="1:21" ht="18" x14ac:dyDescent="0.25">
      <c r="A11" s="7" t="s">
        <v>7</v>
      </c>
      <c r="B11" s="7"/>
      <c r="F11" t="s">
        <v>26</v>
      </c>
      <c r="G11">
        <f>$B$6</f>
        <v>1</v>
      </c>
      <c r="I11">
        <f>$B$13</f>
        <v>100</v>
      </c>
      <c r="J11">
        <f>(1-$B$14/100)</f>
        <v>1</v>
      </c>
      <c r="K11">
        <f>(1-$B$15/200)</f>
        <v>0.97499999999999998</v>
      </c>
      <c r="M11">
        <f>$B$22</f>
        <v>100</v>
      </c>
      <c r="N11">
        <f>IF(N8=1,1,1)</f>
        <v>1</v>
      </c>
      <c r="O11">
        <f>IF(O8=1, ((120-$B$20)/60+(1-(120-$B$20)/60)*(100-$B$21)/100),1)</f>
        <v>1</v>
      </c>
      <c r="P11">
        <f>IF(P8=1, (100-$B$21)/100,1)</f>
        <v>1</v>
      </c>
      <c r="Q11">
        <f>IF(Q8=1, (100-$B$21)/100,1)</f>
        <v>1</v>
      </c>
      <c r="R11">
        <f>IF(R8=1, (($B$20-240)/60+(1-($B$20-240)/60)*(100-$B$21)/100),1)</f>
        <v>0.5</v>
      </c>
      <c r="S11">
        <f>IF(S8=1,1,1)</f>
        <v>1</v>
      </c>
      <c r="U11">
        <f>PRODUCT(G11)*PRODUCT(I11:K11)*PRODUCT(M11:S11)</f>
        <v>4875</v>
      </c>
    </row>
    <row r="12" spans="1:21" x14ac:dyDescent="0.2">
      <c r="F12" t="s">
        <v>41</v>
      </c>
      <c r="G12">
        <f>$B$7</f>
        <v>1</v>
      </c>
      <c r="I12">
        <f>$B$13</f>
        <v>100</v>
      </c>
      <c r="J12">
        <v>1</v>
      </c>
      <c r="K12">
        <f>(1+$B$15/100)</f>
        <v>1.05</v>
      </c>
      <c r="M12">
        <f t="shared" ref="M12:M13" si="0">$B$22</f>
        <v>100</v>
      </c>
      <c r="N12">
        <f>IF(N8=1,$B$20/60+(1-($B$20)/60)*(100-$B$21)/100,1)</f>
        <v>1</v>
      </c>
      <c r="O12">
        <f>IF(O8=1,1,1)</f>
        <v>1</v>
      </c>
      <c r="P12">
        <f>IF(P8=1,1,1)</f>
        <v>1</v>
      </c>
      <c r="Q12">
        <f>IF(Q8=1,(240-$B$20)/60+(1-(240-$B$20)/60)*(100-$B$21)/100,1)</f>
        <v>1</v>
      </c>
      <c r="R12">
        <f>IF(R8=1, (100-$B$21)/100,1)</f>
        <v>0.5</v>
      </c>
      <c r="S12">
        <f>IF(S8=1, (100-$B$21)/100,1)</f>
        <v>1</v>
      </c>
      <c r="U12">
        <f>PRODUCT(G12)*PRODUCT(I12:K12)*PRODUCT(M12:S12)</f>
        <v>5250</v>
      </c>
    </row>
    <row r="13" spans="1:21" x14ac:dyDescent="0.2">
      <c r="A13" t="s">
        <v>8</v>
      </c>
      <c r="B13">
        <v>100</v>
      </c>
      <c r="C13" t="s">
        <v>16</v>
      </c>
      <c r="D13" s="11" t="s">
        <v>48</v>
      </c>
      <c r="F13" t="s">
        <v>42</v>
      </c>
      <c r="G13">
        <f>$B$8</f>
        <v>1</v>
      </c>
      <c r="I13">
        <f>$B$13</f>
        <v>100</v>
      </c>
      <c r="J13">
        <f>(1+$B$14/100)</f>
        <v>1</v>
      </c>
      <c r="K13">
        <f>(1-$B$15/200)</f>
        <v>0.97499999999999998</v>
      </c>
      <c r="M13">
        <f t="shared" si="0"/>
        <v>100</v>
      </c>
      <c r="N13">
        <f>IF(N8=1, (100-$B$21)/100,1)</f>
        <v>1</v>
      </c>
      <c r="O13">
        <f>IF(O8=1, (100-$B$21)/100,1)</f>
        <v>1</v>
      </c>
      <c r="P13">
        <f>IF(P8=1,($B$20-120)/60+(1-($B$20-120)/60)*(100-$B$21)/100,1)</f>
        <v>1</v>
      </c>
      <c r="Q13">
        <f>IF(Q8=1,1,1)</f>
        <v>1</v>
      </c>
      <c r="R13">
        <f>IF(R8=1,1,1)</f>
        <v>1</v>
      </c>
      <c r="S13">
        <f>IF(S8=1,(360-$B$20)/60+(1-(360-$B$20)/60)*(100-$B$21)/100,1)</f>
        <v>1</v>
      </c>
      <c r="U13">
        <f>PRODUCT(G13)*PRODUCT(I13:K13)*PRODUCT(M13:S13)</f>
        <v>9750</v>
      </c>
    </row>
    <row r="14" spans="1:21" x14ac:dyDescent="0.2">
      <c r="A14" t="s">
        <v>9</v>
      </c>
      <c r="B14">
        <v>0</v>
      </c>
      <c r="C14" t="s">
        <v>17</v>
      </c>
      <c r="D14" s="11" t="s">
        <v>47</v>
      </c>
    </row>
    <row r="15" spans="1:21" x14ac:dyDescent="0.2">
      <c r="A15" t="s">
        <v>10</v>
      </c>
      <c r="B15">
        <v>5</v>
      </c>
      <c r="C15" t="s">
        <v>18</v>
      </c>
      <c r="D15" s="11" t="s">
        <v>47</v>
      </c>
    </row>
    <row r="18" spans="1:4" ht="18" x14ac:dyDescent="0.25">
      <c r="A18" s="8" t="s">
        <v>19</v>
      </c>
      <c r="B18" s="5"/>
    </row>
    <row r="20" spans="1:4" x14ac:dyDescent="0.2">
      <c r="A20" t="s">
        <v>20</v>
      </c>
      <c r="B20">
        <v>240</v>
      </c>
      <c r="C20" t="s">
        <v>23</v>
      </c>
      <c r="D20" t="s">
        <v>53</v>
      </c>
    </row>
    <row r="21" spans="1:4" x14ac:dyDescent="0.2">
      <c r="A21" t="s">
        <v>21</v>
      </c>
      <c r="B21">
        <v>50</v>
      </c>
      <c r="C21" t="s">
        <v>24</v>
      </c>
      <c r="D21" t="s">
        <v>49</v>
      </c>
    </row>
    <row r="22" spans="1:4" x14ac:dyDescent="0.2">
      <c r="A22" t="s">
        <v>22</v>
      </c>
      <c r="B22">
        <v>100</v>
      </c>
      <c r="C22" t="s">
        <v>25</v>
      </c>
      <c r="D22" t="s">
        <v>50</v>
      </c>
    </row>
    <row r="26" spans="1:4" ht="24.75" x14ac:dyDescent="0.3">
      <c r="A26" s="10" t="s">
        <v>4</v>
      </c>
    </row>
    <row r="28" spans="1:4" ht="15.75" x14ac:dyDescent="0.25">
      <c r="A28" t="s">
        <v>45</v>
      </c>
      <c r="B28">
        <f>U11</f>
        <v>4875</v>
      </c>
      <c r="C28" s="9" t="s">
        <v>2</v>
      </c>
      <c r="D28" s="9"/>
    </row>
    <row r="29" spans="1:4" x14ac:dyDescent="0.2">
      <c r="A29" t="s">
        <v>44</v>
      </c>
      <c r="B29">
        <f t="shared" ref="B29:B30" si="1">U12</f>
        <v>5250</v>
      </c>
      <c r="C29" t="s">
        <v>0</v>
      </c>
    </row>
    <row r="30" spans="1:4" x14ac:dyDescent="0.2">
      <c r="A30" t="s">
        <v>46</v>
      </c>
      <c r="B30">
        <f t="shared" si="1"/>
        <v>9750</v>
      </c>
      <c r="C30" t="s">
        <v>1</v>
      </c>
    </row>
    <row r="33" spans="1:1" x14ac:dyDescent="0.2">
      <c r="A33" t="s">
        <v>51</v>
      </c>
    </row>
    <row r="35" spans="1:1" x14ac:dyDescent="0.2">
      <c r="A35" t="s">
        <v>52</v>
      </c>
    </row>
  </sheetData>
  <phoneticPr fontId="2" type="noConversion"/>
  <pageMargins left="0.75" right="0.75" top="1" bottom="1" header="0.5" footer="0.5"/>
  <pageSetup paperSize="10" orientation="portrait" horizontalDpi="4294967292" verticalDpi="4294967292"/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7"/>
  <sheetViews>
    <sheetView tabSelected="1" workbookViewId="0">
      <selection activeCell="L22" sqref="L22:L26"/>
    </sheetView>
  </sheetViews>
  <sheetFormatPr defaultRowHeight="12.75" x14ac:dyDescent="0.2"/>
  <cols>
    <col min="1" max="1" width="27" customWidth="1"/>
    <col min="2" max="2" width="31.875" customWidth="1"/>
    <col min="3" max="4" width="12.625" bestFit="1" customWidth="1"/>
    <col min="5" max="5" width="19.5" customWidth="1"/>
    <col min="12" max="12" width="20.5" customWidth="1"/>
  </cols>
  <sheetData>
    <row r="1" spans="1:15" x14ac:dyDescent="0.2">
      <c r="A1" s="12">
        <v>1.2499999999999999E-7</v>
      </c>
    </row>
    <row r="2" spans="1:15" x14ac:dyDescent="0.2">
      <c r="A2" t="s">
        <v>58</v>
      </c>
      <c r="B2" t="s">
        <v>57</v>
      </c>
      <c r="C2" t="s">
        <v>54</v>
      </c>
      <c r="D2" t="s">
        <v>55</v>
      </c>
      <c r="E2" t="s">
        <v>56</v>
      </c>
      <c r="L2" t="s">
        <v>59</v>
      </c>
      <c r="O2">
        <v>1</v>
      </c>
    </row>
    <row r="3" spans="1:15" x14ac:dyDescent="0.2">
      <c r="A3" s="12">
        <f t="shared" ref="A3:A6" si="0">B3*$A$1</f>
        <v>6.2499999999999995E-6</v>
      </c>
      <c r="B3">
        <v>50</v>
      </c>
      <c r="C3">
        <f t="shared" ref="C3:C6" si="1">CalcT1Comparator(B3)</f>
        <v>50</v>
      </c>
      <c r="D3">
        <f t="shared" ref="D3" si="2">CalcT2Comparator(B3)</f>
        <v>1</v>
      </c>
      <c r="E3">
        <f t="shared" ref="E3" si="3">CalcT2PrescalerPointer(B3)</f>
        <v>0</v>
      </c>
      <c r="G3" t="str">
        <f>DEC2HEX(C3)</f>
        <v>32</v>
      </c>
      <c r="J3" t="str">
        <f>DEC2HEX(65535)</f>
        <v>FFFF</v>
      </c>
      <c r="L3">
        <f>INDEX(O$2:O$8,E3+1,1) *D3 * C3</f>
        <v>50</v>
      </c>
      <c r="O3">
        <v>8</v>
      </c>
    </row>
    <row r="4" spans="1:15" x14ac:dyDescent="0.2">
      <c r="A4" s="12">
        <f t="shared" si="0"/>
        <v>1.5625E-5</v>
      </c>
      <c r="B4">
        <v>125</v>
      </c>
      <c r="C4">
        <f t="shared" si="1"/>
        <v>125</v>
      </c>
      <c r="D4">
        <f t="shared" ref="D4:D6" si="4">CalcT2Comparator(B4)</f>
        <v>1</v>
      </c>
      <c r="E4">
        <f t="shared" ref="E4:E6" si="5">CalcT2PrescalerPointer(B4)</f>
        <v>0</v>
      </c>
      <c r="G4" t="str">
        <f t="shared" ref="G4:G39" si="6">DEC2HEX(C4)</f>
        <v>7D</v>
      </c>
      <c r="L4">
        <f t="shared" ref="L4:L37" si="7">INDEX(O$2:O$8,E4+1,1) *D4 * C4</f>
        <v>125</v>
      </c>
      <c r="O4">
        <v>32</v>
      </c>
    </row>
    <row r="5" spans="1:15" x14ac:dyDescent="0.2">
      <c r="A5" s="12">
        <f t="shared" si="0"/>
        <v>3.1250000000000001E-5</v>
      </c>
      <c r="B5">
        <v>250</v>
      </c>
      <c r="C5">
        <f t="shared" si="1"/>
        <v>250</v>
      </c>
      <c r="D5">
        <f t="shared" si="4"/>
        <v>1</v>
      </c>
      <c r="E5">
        <f t="shared" si="5"/>
        <v>0</v>
      </c>
      <c r="G5" t="str">
        <f t="shared" si="6"/>
        <v>FA</v>
      </c>
      <c r="L5">
        <f t="shared" si="7"/>
        <v>250</v>
      </c>
      <c r="O5">
        <v>64</v>
      </c>
    </row>
    <row r="6" spans="1:15" x14ac:dyDescent="0.2">
      <c r="A6" s="12">
        <f t="shared" si="0"/>
        <v>6.2500000000000001E-5</v>
      </c>
      <c r="B6">
        <v>500</v>
      </c>
      <c r="C6">
        <f t="shared" si="1"/>
        <v>500</v>
      </c>
      <c r="D6">
        <f t="shared" si="4"/>
        <v>1</v>
      </c>
      <c r="E6">
        <f t="shared" si="5"/>
        <v>0</v>
      </c>
      <c r="G6" t="str">
        <f t="shared" si="6"/>
        <v>1F4</v>
      </c>
      <c r="L6">
        <f t="shared" si="7"/>
        <v>500</v>
      </c>
      <c r="O6">
        <v>128</v>
      </c>
    </row>
    <row r="7" spans="1:15" x14ac:dyDescent="0.2">
      <c r="A7" s="12">
        <f>B7*$A$1</f>
        <v>1.25E-4</v>
      </c>
      <c r="B7">
        <v>1000</v>
      </c>
      <c r="C7">
        <f>CalcT1Comparator(B7)</f>
        <v>1000</v>
      </c>
      <c r="D7">
        <f>CalcT2Comparator(B7)</f>
        <v>1</v>
      </c>
      <c r="E7">
        <f>CalcT2PrescalerPointer(B7)</f>
        <v>0</v>
      </c>
      <c r="G7" t="str">
        <f t="shared" si="6"/>
        <v>3E8</v>
      </c>
      <c r="L7">
        <f t="shared" si="7"/>
        <v>1000</v>
      </c>
      <c r="O7">
        <v>256</v>
      </c>
    </row>
    <row r="8" spans="1:15" x14ac:dyDescent="0.2">
      <c r="A8" s="12">
        <f t="shared" ref="A8:A47" si="8">B8*$A$1</f>
        <v>2.5000000000000001E-4</v>
      </c>
      <c r="B8">
        <f>B7*2</f>
        <v>2000</v>
      </c>
      <c r="C8">
        <f t="shared" ref="C8:C47" si="9">CalcT1Comparator(B8)</f>
        <v>2000</v>
      </c>
      <c r="D8">
        <f t="shared" ref="D8:D38" si="10">CalcT2Comparator(B8)</f>
        <v>1</v>
      </c>
      <c r="E8">
        <f t="shared" ref="E8:E38" si="11">CalcT2PrescalerPointer(B8)</f>
        <v>0</v>
      </c>
      <c r="G8" t="str">
        <f t="shared" si="6"/>
        <v>7D0</v>
      </c>
      <c r="L8">
        <f t="shared" si="7"/>
        <v>2000</v>
      </c>
      <c r="O8">
        <v>1024</v>
      </c>
    </row>
    <row r="9" spans="1:15" x14ac:dyDescent="0.2">
      <c r="A9" s="12">
        <f t="shared" si="8"/>
        <v>5.0000000000000001E-4</v>
      </c>
      <c r="B9">
        <f t="shared" ref="B9:B47" si="12">B8*2</f>
        <v>4000</v>
      </c>
      <c r="C9">
        <f t="shared" si="9"/>
        <v>4000</v>
      </c>
      <c r="D9">
        <f t="shared" si="10"/>
        <v>1</v>
      </c>
      <c r="E9">
        <f t="shared" si="11"/>
        <v>0</v>
      </c>
      <c r="G9" t="str">
        <f t="shared" si="6"/>
        <v>FA0</v>
      </c>
      <c r="L9">
        <f t="shared" si="7"/>
        <v>4000</v>
      </c>
    </row>
    <row r="10" spans="1:15" x14ac:dyDescent="0.2">
      <c r="A10" s="12">
        <f t="shared" si="8"/>
        <v>1E-3</v>
      </c>
      <c r="B10">
        <f t="shared" si="12"/>
        <v>8000</v>
      </c>
      <c r="C10">
        <f t="shared" si="9"/>
        <v>8000</v>
      </c>
      <c r="D10">
        <f t="shared" si="10"/>
        <v>1</v>
      </c>
      <c r="E10">
        <f t="shared" si="11"/>
        <v>0</v>
      </c>
      <c r="G10" t="str">
        <f t="shared" si="6"/>
        <v>1F40</v>
      </c>
      <c r="L10">
        <f t="shared" si="7"/>
        <v>8000</v>
      </c>
    </row>
    <row r="11" spans="1:15" x14ac:dyDescent="0.2">
      <c r="A11" s="12">
        <f t="shared" si="8"/>
        <v>2E-3</v>
      </c>
      <c r="B11">
        <f t="shared" si="12"/>
        <v>16000</v>
      </c>
      <c r="C11">
        <f t="shared" si="9"/>
        <v>16000</v>
      </c>
      <c r="D11">
        <f t="shared" si="10"/>
        <v>1</v>
      </c>
      <c r="E11">
        <f t="shared" si="11"/>
        <v>0</v>
      </c>
      <c r="G11" t="str">
        <f t="shared" si="6"/>
        <v>3E80</v>
      </c>
      <c r="L11">
        <f t="shared" si="7"/>
        <v>16000</v>
      </c>
    </row>
    <row r="12" spans="1:15" x14ac:dyDescent="0.2">
      <c r="A12" s="12">
        <f t="shared" si="8"/>
        <v>4.0000000000000001E-3</v>
      </c>
      <c r="B12">
        <f t="shared" si="12"/>
        <v>32000</v>
      </c>
      <c r="C12">
        <f t="shared" si="9"/>
        <v>32000</v>
      </c>
      <c r="D12">
        <f t="shared" si="10"/>
        <v>1</v>
      </c>
      <c r="E12">
        <f t="shared" si="11"/>
        <v>0</v>
      </c>
      <c r="G12" t="str">
        <f t="shared" si="6"/>
        <v>7D00</v>
      </c>
      <c r="L12">
        <f t="shared" si="7"/>
        <v>32000</v>
      </c>
    </row>
    <row r="13" spans="1:15" x14ac:dyDescent="0.2">
      <c r="A13" s="12">
        <f t="shared" si="8"/>
        <v>8.0000000000000002E-3</v>
      </c>
      <c r="B13">
        <f t="shared" si="12"/>
        <v>64000</v>
      </c>
      <c r="C13">
        <f t="shared" si="9"/>
        <v>64000</v>
      </c>
      <c r="D13">
        <f t="shared" si="10"/>
        <v>1</v>
      </c>
      <c r="E13">
        <f t="shared" si="11"/>
        <v>0</v>
      </c>
      <c r="G13" t="str">
        <f t="shared" si="6"/>
        <v>FA00</v>
      </c>
      <c r="L13">
        <f t="shared" si="7"/>
        <v>64000</v>
      </c>
    </row>
    <row r="14" spans="1:15" x14ac:dyDescent="0.2">
      <c r="A14" s="12">
        <f t="shared" si="8"/>
        <v>8.624999999999999E-3</v>
      </c>
      <c r="B14">
        <f>B13+5000</f>
        <v>69000</v>
      </c>
      <c r="C14">
        <f t="shared" si="9"/>
        <v>34500</v>
      </c>
      <c r="D14">
        <f t="shared" si="10"/>
        <v>2</v>
      </c>
      <c r="E14">
        <f t="shared" si="11"/>
        <v>0</v>
      </c>
      <c r="G14" t="str">
        <f t="shared" si="6"/>
        <v>86C4</v>
      </c>
      <c r="L14">
        <f t="shared" si="7"/>
        <v>69000</v>
      </c>
    </row>
    <row r="15" spans="1:15" x14ac:dyDescent="0.2">
      <c r="A15" s="12">
        <f t="shared" si="8"/>
        <v>9.2499999999999995E-3</v>
      </c>
      <c r="B15">
        <f t="shared" ref="B15:B21" si="13">B14+5000</f>
        <v>74000</v>
      </c>
      <c r="C15">
        <f t="shared" si="9"/>
        <v>37000</v>
      </c>
      <c r="D15">
        <f t="shared" si="10"/>
        <v>2</v>
      </c>
      <c r="E15">
        <f t="shared" si="11"/>
        <v>0</v>
      </c>
      <c r="G15" t="str">
        <f t="shared" si="6"/>
        <v>9088</v>
      </c>
      <c r="L15">
        <f t="shared" si="7"/>
        <v>74000</v>
      </c>
    </row>
    <row r="16" spans="1:15" x14ac:dyDescent="0.2">
      <c r="A16" s="12">
        <f t="shared" si="8"/>
        <v>9.8750000000000001E-3</v>
      </c>
      <c r="B16">
        <f t="shared" si="13"/>
        <v>79000</v>
      </c>
      <c r="C16">
        <f t="shared" si="9"/>
        <v>39500</v>
      </c>
      <c r="D16">
        <f t="shared" si="10"/>
        <v>2</v>
      </c>
      <c r="E16">
        <f t="shared" si="11"/>
        <v>0</v>
      </c>
      <c r="G16" t="str">
        <f t="shared" si="6"/>
        <v>9A4C</v>
      </c>
      <c r="L16">
        <f t="shared" si="7"/>
        <v>79000</v>
      </c>
    </row>
    <row r="17" spans="1:12" x14ac:dyDescent="0.2">
      <c r="A17" s="12">
        <f t="shared" si="8"/>
        <v>1.0499999999999999E-2</v>
      </c>
      <c r="B17">
        <f t="shared" si="13"/>
        <v>84000</v>
      </c>
      <c r="C17">
        <f t="shared" si="9"/>
        <v>42000</v>
      </c>
      <c r="D17">
        <f t="shared" si="10"/>
        <v>2</v>
      </c>
      <c r="E17">
        <f t="shared" si="11"/>
        <v>0</v>
      </c>
      <c r="G17" t="str">
        <f t="shared" si="6"/>
        <v>A410</v>
      </c>
      <c r="L17">
        <f t="shared" si="7"/>
        <v>84000</v>
      </c>
    </row>
    <row r="18" spans="1:12" x14ac:dyDescent="0.2">
      <c r="A18" s="12">
        <f t="shared" si="8"/>
        <v>1.1124999999999999E-2</v>
      </c>
      <c r="B18">
        <f t="shared" si="13"/>
        <v>89000</v>
      </c>
      <c r="C18">
        <f t="shared" si="9"/>
        <v>44500</v>
      </c>
      <c r="D18">
        <f t="shared" si="10"/>
        <v>2</v>
      </c>
      <c r="E18">
        <f t="shared" si="11"/>
        <v>0</v>
      </c>
      <c r="G18" t="str">
        <f t="shared" si="6"/>
        <v>ADD4</v>
      </c>
      <c r="L18">
        <f t="shared" si="7"/>
        <v>89000</v>
      </c>
    </row>
    <row r="19" spans="1:12" x14ac:dyDescent="0.2">
      <c r="A19" s="12">
        <f t="shared" si="8"/>
        <v>1.175E-2</v>
      </c>
      <c r="B19">
        <f t="shared" si="13"/>
        <v>94000</v>
      </c>
      <c r="C19">
        <f t="shared" si="9"/>
        <v>47000</v>
      </c>
      <c r="D19">
        <f t="shared" si="10"/>
        <v>2</v>
      </c>
      <c r="E19">
        <f t="shared" si="11"/>
        <v>0</v>
      </c>
      <c r="G19" t="str">
        <f t="shared" si="6"/>
        <v>B798</v>
      </c>
      <c r="L19">
        <f t="shared" si="7"/>
        <v>94000</v>
      </c>
    </row>
    <row r="20" spans="1:12" x14ac:dyDescent="0.2">
      <c r="A20" s="12">
        <f t="shared" si="8"/>
        <v>1.2374999999999999E-2</v>
      </c>
      <c r="B20">
        <f t="shared" si="13"/>
        <v>99000</v>
      </c>
      <c r="C20">
        <f t="shared" si="9"/>
        <v>49500</v>
      </c>
      <c r="D20">
        <f t="shared" si="10"/>
        <v>2</v>
      </c>
      <c r="E20">
        <f t="shared" si="11"/>
        <v>0</v>
      </c>
      <c r="G20" t="str">
        <f t="shared" si="6"/>
        <v>C15C</v>
      </c>
      <c r="L20">
        <f t="shared" si="7"/>
        <v>99000</v>
      </c>
    </row>
    <row r="21" spans="1:12" x14ac:dyDescent="0.2">
      <c r="A21" s="12">
        <f t="shared" si="8"/>
        <v>1.2999999999999999E-2</v>
      </c>
      <c r="B21">
        <f t="shared" si="13"/>
        <v>104000</v>
      </c>
      <c r="C21">
        <f t="shared" si="9"/>
        <v>52000</v>
      </c>
      <c r="D21">
        <f t="shared" si="10"/>
        <v>2</v>
      </c>
      <c r="E21">
        <f t="shared" si="11"/>
        <v>0</v>
      </c>
      <c r="G21" t="str">
        <f t="shared" si="6"/>
        <v>CB20</v>
      </c>
      <c r="L21">
        <f t="shared" si="7"/>
        <v>104000</v>
      </c>
    </row>
    <row r="22" spans="1:12" x14ac:dyDescent="0.2">
      <c r="A22" s="12">
        <f t="shared" si="8"/>
        <v>1.6E-2</v>
      </c>
      <c r="B22">
        <f>B13*2</f>
        <v>128000</v>
      </c>
      <c r="C22">
        <f t="shared" si="9"/>
        <v>64000</v>
      </c>
      <c r="D22">
        <f t="shared" si="10"/>
        <v>2</v>
      </c>
      <c r="E22">
        <f t="shared" si="11"/>
        <v>0</v>
      </c>
      <c r="G22" t="str">
        <f t="shared" si="6"/>
        <v>FA00</v>
      </c>
      <c r="L22">
        <f t="shared" si="7"/>
        <v>128000</v>
      </c>
    </row>
    <row r="23" spans="1:12" x14ac:dyDescent="0.2">
      <c r="A23" s="12">
        <f t="shared" si="8"/>
        <v>1.6125E-2</v>
      </c>
      <c r="B23">
        <f>B22+1000</f>
        <v>129000</v>
      </c>
      <c r="C23">
        <f t="shared" si="9"/>
        <v>64500</v>
      </c>
      <c r="D23">
        <f t="shared" ref="D23" si="14">CalcT2Comparator(B23)</f>
        <v>2</v>
      </c>
      <c r="E23">
        <f t="shared" ref="E23" si="15">CalcT2PrescalerPointer(B23)</f>
        <v>0</v>
      </c>
      <c r="G23" t="str">
        <f t="shared" ref="G23" si="16">DEC2HEX(C23)</f>
        <v>FBF4</v>
      </c>
      <c r="L23">
        <f t="shared" si="7"/>
        <v>129000</v>
      </c>
    </row>
    <row r="24" spans="1:12" x14ac:dyDescent="0.2">
      <c r="A24" s="12">
        <f t="shared" si="8"/>
        <v>1.6250000000000001E-2</v>
      </c>
      <c r="B24">
        <f>B23+1000</f>
        <v>130000</v>
      </c>
      <c r="C24">
        <f t="shared" si="9"/>
        <v>65000</v>
      </c>
      <c r="D24">
        <f t="shared" ref="D24:D25" si="17">CalcT2Comparator(B24)</f>
        <v>2</v>
      </c>
      <c r="E24">
        <f t="shared" ref="E24:E25" si="18">CalcT2PrescalerPointer(B24)</f>
        <v>0</v>
      </c>
      <c r="G24" t="str">
        <f t="shared" ref="G24:G25" si="19">DEC2HEX(C24)</f>
        <v>FDE8</v>
      </c>
      <c r="L24">
        <f t="shared" si="7"/>
        <v>130000</v>
      </c>
    </row>
    <row r="25" spans="1:12" x14ac:dyDescent="0.2">
      <c r="A25" s="12">
        <f t="shared" si="8"/>
        <v>1.6375000000000001E-2</v>
      </c>
      <c r="B25">
        <f>B24+1000</f>
        <v>131000</v>
      </c>
      <c r="C25">
        <f t="shared" si="9"/>
        <v>65500</v>
      </c>
      <c r="D25">
        <f t="shared" si="17"/>
        <v>2</v>
      </c>
      <c r="E25">
        <f t="shared" si="18"/>
        <v>0</v>
      </c>
      <c r="G25" t="str">
        <f t="shared" si="19"/>
        <v>FFDC</v>
      </c>
      <c r="L25">
        <f t="shared" si="7"/>
        <v>131000</v>
      </c>
    </row>
    <row r="26" spans="1:12" x14ac:dyDescent="0.2">
      <c r="A26" s="12">
        <f t="shared" si="8"/>
        <v>1.6383749999999999E-2</v>
      </c>
      <c r="B26">
        <f>B25+70</f>
        <v>131070</v>
      </c>
      <c r="C26">
        <f t="shared" si="9"/>
        <v>65535</v>
      </c>
      <c r="D26">
        <f t="shared" ref="D26" si="20">CalcT2Comparator(B26)</f>
        <v>2</v>
      </c>
      <c r="E26">
        <f t="shared" ref="E26" si="21">CalcT2PrescalerPointer(B26)</f>
        <v>0</v>
      </c>
      <c r="G26" t="str">
        <f t="shared" ref="G26" si="22">DEC2HEX(C26)</f>
        <v>FFFF</v>
      </c>
      <c r="L26">
        <f t="shared" si="7"/>
        <v>131070</v>
      </c>
    </row>
    <row r="27" spans="1:12" x14ac:dyDescent="0.2">
      <c r="A27" s="12">
        <f t="shared" si="8"/>
        <v>3.2000000000000001E-2</v>
      </c>
      <c r="B27">
        <f>B22*2</f>
        <v>256000</v>
      </c>
      <c r="C27">
        <f t="shared" si="9"/>
        <v>128000</v>
      </c>
      <c r="D27">
        <f t="shared" si="10"/>
        <v>2</v>
      </c>
      <c r="E27">
        <f t="shared" si="11"/>
        <v>0</v>
      </c>
      <c r="G27" t="str">
        <f t="shared" si="6"/>
        <v>1F400</v>
      </c>
      <c r="L27">
        <f t="shared" si="7"/>
        <v>256000</v>
      </c>
    </row>
    <row r="28" spans="1:12" x14ac:dyDescent="0.2">
      <c r="A28" s="12">
        <f t="shared" si="8"/>
        <v>6.4000000000000001E-2</v>
      </c>
      <c r="B28">
        <f t="shared" si="12"/>
        <v>512000</v>
      </c>
      <c r="C28">
        <f t="shared" si="9"/>
        <v>170667</v>
      </c>
      <c r="D28">
        <f t="shared" si="10"/>
        <v>3</v>
      </c>
      <c r="E28">
        <f t="shared" si="11"/>
        <v>0</v>
      </c>
      <c r="G28" t="str">
        <f t="shared" si="6"/>
        <v>29AAB</v>
      </c>
      <c r="L28">
        <f t="shared" si="7"/>
        <v>512001</v>
      </c>
    </row>
    <row r="29" spans="1:12" x14ac:dyDescent="0.2">
      <c r="A29" s="12">
        <f t="shared" si="8"/>
        <v>0.128</v>
      </c>
      <c r="B29">
        <f t="shared" si="12"/>
        <v>1024000</v>
      </c>
      <c r="C29">
        <f t="shared" si="9"/>
        <v>256000</v>
      </c>
      <c r="D29">
        <f t="shared" si="10"/>
        <v>4</v>
      </c>
      <c r="E29">
        <f t="shared" si="11"/>
        <v>0</v>
      </c>
      <c r="G29" t="str">
        <f t="shared" si="6"/>
        <v>3E800</v>
      </c>
      <c r="L29">
        <f t="shared" si="7"/>
        <v>1024000</v>
      </c>
    </row>
    <row r="30" spans="1:12" x14ac:dyDescent="0.2">
      <c r="A30" s="12">
        <f t="shared" si="8"/>
        <v>0.25600000000000001</v>
      </c>
      <c r="B30">
        <f t="shared" si="12"/>
        <v>2048000</v>
      </c>
      <c r="C30">
        <f t="shared" si="9"/>
        <v>341333</v>
      </c>
      <c r="D30">
        <f t="shared" si="10"/>
        <v>6</v>
      </c>
      <c r="E30">
        <f t="shared" si="11"/>
        <v>0</v>
      </c>
      <c r="G30" t="str">
        <f t="shared" si="6"/>
        <v>53555</v>
      </c>
      <c r="L30">
        <f t="shared" si="7"/>
        <v>2047998</v>
      </c>
    </row>
    <row r="31" spans="1:12" x14ac:dyDescent="0.2">
      <c r="A31" s="12">
        <f t="shared" si="8"/>
        <v>0.51200000000000001</v>
      </c>
      <c r="B31">
        <f t="shared" si="12"/>
        <v>4096000</v>
      </c>
      <c r="C31">
        <f t="shared" si="9"/>
        <v>512000</v>
      </c>
      <c r="D31">
        <f t="shared" si="10"/>
        <v>8</v>
      </c>
      <c r="E31">
        <f t="shared" si="11"/>
        <v>0</v>
      </c>
      <c r="G31" t="str">
        <f t="shared" si="6"/>
        <v>7D000</v>
      </c>
      <c r="L31">
        <f t="shared" si="7"/>
        <v>4096000</v>
      </c>
    </row>
    <row r="32" spans="1:12" x14ac:dyDescent="0.2">
      <c r="A32" s="12">
        <f t="shared" si="8"/>
        <v>1.024</v>
      </c>
      <c r="B32">
        <f t="shared" si="12"/>
        <v>8192000</v>
      </c>
      <c r="C32">
        <f t="shared" si="9"/>
        <v>256000</v>
      </c>
      <c r="D32">
        <f t="shared" si="10"/>
        <v>4</v>
      </c>
      <c r="E32">
        <f t="shared" si="11"/>
        <v>1</v>
      </c>
      <c r="G32" t="str">
        <f t="shared" si="6"/>
        <v>3E800</v>
      </c>
      <c r="L32">
        <f t="shared" si="7"/>
        <v>8192000</v>
      </c>
    </row>
    <row r="33" spans="1:12" x14ac:dyDescent="0.2">
      <c r="A33" s="12">
        <f t="shared" si="8"/>
        <v>2.048</v>
      </c>
      <c r="B33">
        <f t="shared" si="12"/>
        <v>16384000</v>
      </c>
      <c r="C33">
        <f t="shared" si="9"/>
        <v>128000</v>
      </c>
      <c r="D33">
        <f t="shared" si="10"/>
        <v>2</v>
      </c>
      <c r="E33">
        <f t="shared" si="11"/>
        <v>3</v>
      </c>
      <c r="G33" t="str">
        <f t="shared" si="6"/>
        <v>1F400</v>
      </c>
      <c r="L33">
        <f t="shared" si="7"/>
        <v>16384000</v>
      </c>
    </row>
    <row r="34" spans="1:12" x14ac:dyDescent="0.2">
      <c r="A34" s="12">
        <f t="shared" si="8"/>
        <v>4.0960000000000001</v>
      </c>
      <c r="B34">
        <f t="shared" si="12"/>
        <v>32768000</v>
      </c>
      <c r="C34">
        <f t="shared" si="9"/>
        <v>128000</v>
      </c>
      <c r="D34">
        <f t="shared" si="10"/>
        <v>2</v>
      </c>
      <c r="E34">
        <f t="shared" si="11"/>
        <v>4</v>
      </c>
      <c r="G34" t="str">
        <f t="shared" si="6"/>
        <v>1F400</v>
      </c>
      <c r="L34">
        <f t="shared" si="7"/>
        <v>32768000</v>
      </c>
    </row>
    <row r="35" spans="1:12" x14ac:dyDescent="0.2">
      <c r="A35" s="12">
        <f t="shared" si="8"/>
        <v>8.1920000000000002</v>
      </c>
      <c r="B35">
        <f t="shared" si="12"/>
        <v>65536000</v>
      </c>
      <c r="C35">
        <f t="shared" si="9"/>
        <v>128000</v>
      </c>
      <c r="D35">
        <f t="shared" si="10"/>
        <v>2</v>
      </c>
      <c r="E35">
        <f t="shared" si="11"/>
        <v>5</v>
      </c>
      <c r="G35" t="str">
        <f t="shared" si="6"/>
        <v>1F400</v>
      </c>
      <c r="L35">
        <f t="shared" si="7"/>
        <v>65536000</v>
      </c>
    </row>
    <row r="36" spans="1:12" x14ac:dyDescent="0.2">
      <c r="A36" s="12">
        <f t="shared" si="8"/>
        <v>16.384</v>
      </c>
      <c r="B36">
        <f t="shared" si="12"/>
        <v>131072000</v>
      </c>
      <c r="C36">
        <f t="shared" si="9"/>
        <v>170667</v>
      </c>
      <c r="D36">
        <f t="shared" si="10"/>
        <v>3</v>
      </c>
      <c r="E36">
        <f t="shared" si="11"/>
        <v>5</v>
      </c>
      <c r="G36" t="str">
        <f t="shared" si="6"/>
        <v>29AAB</v>
      </c>
      <c r="L36">
        <f t="shared" si="7"/>
        <v>131072256</v>
      </c>
    </row>
    <row r="37" spans="1:12" x14ac:dyDescent="0.2">
      <c r="A37" s="12">
        <f t="shared" si="8"/>
        <v>32.768000000000001</v>
      </c>
      <c r="B37">
        <f t="shared" si="12"/>
        <v>262144000</v>
      </c>
      <c r="C37">
        <f t="shared" si="9"/>
        <v>256000</v>
      </c>
      <c r="D37">
        <f t="shared" si="10"/>
        <v>4</v>
      </c>
      <c r="E37">
        <f t="shared" si="11"/>
        <v>5</v>
      </c>
      <c r="G37" t="str">
        <f t="shared" si="6"/>
        <v>3E800</v>
      </c>
      <c r="L37">
        <f t="shared" si="7"/>
        <v>262144000</v>
      </c>
    </row>
    <row r="38" spans="1:12" x14ac:dyDescent="0.2">
      <c r="A38" s="12">
        <f t="shared" si="8"/>
        <v>65.536000000000001</v>
      </c>
      <c r="B38">
        <f t="shared" si="12"/>
        <v>524288000</v>
      </c>
      <c r="C38" t="e">
        <f t="shared" si="9"/>
        <v>#VALUE!</v>
      </c>
      <c r="D38" t="e">
        <f t="shared" si="10"/>
        <v>#VALUE!</v>
      </c>
      <c r="E38" t="e">
        <f t="shared" si="11"/>
        <v>#VALUE!</v>
      </c>
      <c r="G38" t="e">
        <f t="shared" si="6"/>
        <v>#VALUE!</v>
      </c>
    </row>
    <row r="39" spans="1:12" x14ac:dyDescent="0.2">
      <c r="A39" s="12">
        <f t="shared" si="8"/>
        <v>131.072</v>
      </c>
      <c r="B39">
        <f t="shared" si="12"/>
        <v>1048576000</v>
      </c>
      <c r="C39" t="e">
        <f t="shared" si="9"/>
        <v>#VALUE!</v>
      </c>
      <c r="D39" t="e">
        <f t="shared" ref="D39:D47" si="23">CalcT2Comparator(B39)</f>
        <v>#VALUE!</v>
      </c>
      <c r="E39" t="e">
        <f t="shared" ref="E39:E47" si="24">CalcT2PrescalerPointer(B39)</f>
        <v>#VALUE!</v>
      </c>
      <c r="G39" t="e">
        <f t="shared" si="6"/>
        <v>#VALUE!</v>
      </c>
    </row>
    <row r="40" spans="1:12" x14ac:dyDescent="0.2">
      <c r="A40" s="12">
        <f t="shared" si="8"/>
        <v>262.14400000000001</v>
      </c>
      <c r="B40">
        <f t="shared" si="12"/>
        <v>2097152000</v>
      </c>
      <c r="C40" t="e">
        <f t="shared" si="9"/>
        <v>#VALUE!</v>
      </c>
      <c r="D40" t="e">
        <f t="shared" si="23"/>
        <v>#VALUE!</v>
      </c>
      <c r="E40" t="e">
        <f t="shared" si="24"/>
        <v>#VALUE!</v>
      </c>
    </row>
    <row r="41" spans="1:12" x14ac:dyDescent="0.2">
      <c r="A41" s="12">
        <f t="shared" si="8"/>
        <v>524.28800000000001</v>
      </c>
      <c r="B41">
        <f t="shared" si="12"/>
        <v>4194304000</v>
      </c>
      <c r="C41" t="e">
        <f t="shared" si="9"/>
        <v>#NUM!</v>
      </c>
      <c r="D41" t="e">
        <f t="shared" si="23"/>
        <v>#NUM!</v>
      </c>
      <c r="E41" t="e">
        <f t="shared" si="24"/>
        <v>#NUM!</v>
      </c>
    </row>
    <row r="42" spans="1:12" x14ac:dyDescent="0.2">
      <c r="A42" s="12">
        <f t="shared" si="8"/>
        <v>1048.576</v>
      </c>
      <c r="B42">
        <f t="shared" si="12"/>
        <v>8388608000</v>
      </c>
      <c r="C42" t="e">
        <f t="shared" si="9"/>
        <v>#NUM!</v>
      </c>
      <c r="D42" t="e">
        <f t="shared" si="23"/>
        <v>#NUM!</v>
      </c>
      <c r="E42" t="e">
        <f t="shared" si="24"/>
        <v>#NUM!</v>
      </c>
    </row>
    <row r="43" spans="1:12" x14ac:dyDescent="0.2">
      <c r="A43" s="12">
        <f t="shared" si="8"/>
        <v>2097.152</v>
      </c>
      <c r="B43">
        <f t="shared" si="12"/>
        <v>16777216000</v>
      </c>
      <c r="C43" t="e">
        <f t="shared" si="9"/>
        <v>#NUM!</v>
      </c>
      <c r="D43" t="e">
        <f t="shared" si="23"/>
        <v>#NUM!</v>
      </c>
      <c r="E43" t="e">
        <f t="shared" si="24"/>
        <v>#NUM!</v>
      </c>
    </row>
    <row r="44" spans="1:12" x14ac:dyDescent="0.2">
      <c r="A44" s="12">
        <f t="shared" si="8"/>
        <v>4194.3040000000001</v>
      </c>
      <c r="B44">
        <f t="shared" si="12"/>
        <v>33554432000</v>
      </c>
      <c r="C44" t="e">
        <f t="shared" si="9"/>
        <v>#NUM!</v>
      </c>
      <c r="D44" t="e">
        <f t="shared" si="23"/>
        <v>#NUM!</v>
      </c>
      <c r="E44" t="e">
        <f t="shared" si="24"/>
        <v>#NUM!</v>
      </c>
    </row>
    <row r="45" spans="1:12" x14ac:dyDescent="0.2">
      <c r="A45" s="12">
        <f t="shared" si="8"/>
        <v>8388.6080000000002</v>
      </c>
      <c r="B45">
        <f t="shared" si="12"/>
        <v>67108864000</v>
      </c>
      <c r="C45" t="e">
        <f t="shared" si="9"/>
        <v>#NUM!</v>
      </c>
      <c r="D45" t="e">
        <f t="shared" si="23"/>
        <v>#NUM!</v>
      </c>
      <c r="E45" t="e">
        <f t="shared" si="24"/>
        <v>#NUM!</v>
      </c>
    </row>
    <row r="46" spans="1:12" x14ac:dyDescent="0.2">
      <c r="A46" s="12">
        <f t="shared" si="8"/>
        <v>16777.216</v>
      </c>
      <c r="B46">
        <f t="shared" si="12"/>
        <v>134217728000</v>
      </c>
      <c r="C46" t="e">
        <f t="shared" si="9"/>
        <v>#NUM!</v>
      </c>
      <c r="D46" t="e">
        <f t="shared" si="23"/>
        <v>#NUM!</v>
      </c>
      <c r="E46" t="e">
        <f t="shared" si="24"/>
        <v>#NUM!</v>
      </c>
    </row>
    <row r="47" spans="1:12" x14ac:dyDescent="0.2">
      <c r="A47" s="12">
        <f t="shared" si="8"/>
        <v>33554.432000000001</v>
      </c>
      <c r="B47">
        <f t="shared" si="12"/>
        <v>268435456000</v>
      </c>
      <c r="C47" t="e">
        <f t="shared" si="9"/>
        <v>#NUM!</v>
      </c>
      <c r="D47" t="e">
        <f t="shared" si="23"/>
        <v>#NUM!</v>
      </c>
      <c r="E47" t="e">
        <f t="shared" si="24"/>
        <v>#NUM!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Chisholm</dc:creator>
  <cp:lastModifiedBy>Pete</cp:lastModifiedBy>
  <dcterms:created xsi:type="dcterms:W3CDTF">2016-03-17T07:01:41Z</dcterms:created>
  <dcterms:modified xsi:type="dcterms:W3CDTF">2016-07-07T21:17:14Z</dcterms:modified>
</cp:coreProperties>
</file>